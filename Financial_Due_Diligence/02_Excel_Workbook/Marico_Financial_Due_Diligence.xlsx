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b4a60700005829/Desktop/Financial_Due_Diligence/02_Excel_Workbook/"/>
    </mc:Choice>
  </mc:AlternateContent>
  <xr:revisionPtr revIDLastSave="180" documentId="11_C36B0FA7A0479241DE00F12B50CC4BAE9630E911" xr6:coauthVersionLast="47" xr6:coauthVersionMax="47" xr10:uidLastSave="{1232F573-30D8-4AF1-92D6-CE7A25482713}"/>
  <bookViews>
    <workbookView xWindow="-83" yWindow="0" windowWidth="12166" windowHeight="14362" firstSheet="2" activeTab="3" xr2:uid="{00000000-000D-0000-FFFF-FFFF00000000}"/>
  </bookViews>
  <sheets>
    <sheet name="Read Me" sheetId="1" r:id="rId1"/>
    <sheet name="Historical Financials" sheetId="2" r:id="rId2"/>
    <sheet name="Ratio Analysis" sheetId="3" r:id="rId3"/>
    <sheet name="Red Flags" sheetId="4" r:id="rId4"/>
    <sheet name="Dashboard" sheetId="5" r:id="rId5"/>
  </sheets>
  <definedNames>
    <definedName name="_xlnm._FilterDatabase" localSheetId="4" hidden="1">Dashboard!$A$1:$D$9</definedName>
    <definedName name="_xlnm._FilterDatabase" localSheetId="1" hidden="1">'Historical Financials'!$A$1:$D$8</definedName>
    <definedName name="_xlnm._FilterDatabase" localSheetId="2" hidden="1">'Ratio Analysis'!$A$1:$D$8</definedName>
    <definedName name="_xlnm._FilterDatabase" localSheetId="3" hidden="1">'Red Flags'!$A$1:$E$4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C15" i="3"/>
  <c r="C14" i="3"/>
  <c r="B14" i="3"/>
  <c r="C13" i="3"/>
  <c r="B13" i="3"/>
  <c r="C12" i="3"/>
  <c r="B12" i="3"/>
  <c r="C11" i="3"/>
  <c r="B11" i="3"/>
  <c r="C10" i="3"/>
  <c r="B10" i="3"/>
  <c r="B9" i="3"/>
  <c r="C9" i="3"/>
  <c r="B2" i="3"/>
  <c r="B8" i="3"/>
  <c r="B7" i="3"/>
  <c r="C9" i="5"/>
  <c r="B9" i="5"/>
  <c r="C8" i="5"/>
  <c r="B8" i="5"/>
  <c r="C7" i="5"/>
  <c r="B7" i="5"/>
  <c r="C6" i="5"/>
  <c r="B6" i="5"/>
  <c r="C5" i="5"/>
  <c r="B5" i="5"/>
  <c r="C4" i="5"/>
  <c r="B4" i="5"/>
  <c r="C8" i="3"/>
  <c r="C7" i="3"/>
  <c r="C6" i="3"/>
  <c r="B6" i="3"/>
  <c r="C5" i="3"/>
  <c r="B5" i="3"/>
  <c r="C4" i="3"/>
  <c r="B4" i="3"/>
  <c r="C3" i="3"/>
  <c r="B3" i="3"/>
  <c r="C2" i="3"/>
  <c r="D6" i="5" l="1"/>
  <c r="D4" i="5"/>
  <c r="D8" i="5"/>
  <c r="D7" i="5"/>
  <c r="D5" i="5"/>
  <c r="D9" i="5"/>
</calcChain>
</file>

<file path=xl/sharedStrings.xml><?xml version="1.0" encoding="utf-8"?>
<sst xmlns="http://schemas.openxmlformats.org/spreadsheetml/2006/main" count="135" uniqueCount="106">
  <si>
    <t>Financial Metric</t>
  </si>
  <si>
    <t>FY2024-25</t>
  </si>
  <si>
    <t>FY2025-26</t>
  </si>
  <si>
    <t>Source / Notes</t>
  </si>
  <si>
    <t>Revenue from Operations</t>
  </si>
  <si>
    <t>Consolidated Annual Report FY26</t>
  </si>
  <si>
    <t>Total Income</t>
  </si>
  <si>
    <t>Profit Before Tax</t>
  </si>
  <si>
    <t>Profit for the Year</t>
  </si>
  <si>
    <t>Total Assets</t>
  </si>
  <si>
    <t>Total Liabilities</t>
  </si>
  <si>
    <t>Total Equity</t>
  </si>
  <si>
    <t>Financial Due Diligence Case Study</t>
  </si>
  <si>
    <t>Company</t>
  </si>
  <si>
    <t>Marico Limited</t>
  </si>
  <si>
    <t>Industry</t>
  </si>
  <si>
    <t>Consumer Goods</t>
  </si>
  <si>
    <t>Analysis Type</t>
  </si>
  <si>
    <t>Financial Due Diligence</t>
  </si>
  <si>
    <t>Currency</t>
  </si>
  <si>
    <t>INR (₹ crore)</t>
  </si>
  <si>
    <t>Status</t>
  </si>
  <si>
    <t>In Progress</t>
  </si>
  <si>
    <t>Data status</t>
  </si>
  <si>
    <t>Initial figures from consolidated statements screenshot; verify against official report before final use.</t>
  </si>
  <si>
    <t>Ratio / Metric</t>
  </si>
  <si>
    <t>Interpretation</t>
  </si>
  <si>
    <t>Revenue growth</t>
  </si>
  <si>
    <t>FY26 revenue growth vs FY25</t>
  </si>
  <si>
    <t>Profit before tax margin</t>
  </si>
  <si>
    <t>Profit before tax as % of revenue</t>
  </si>
  <si>
    <t>Net profit margin</t>
  </si>
  <si>
    <t>Profit for the year as % of revenue</t>
  </si>
  <si>
    <t>Liabilities to assets</t>
  </si>
  <si>
    <t>Share of assets funded by liabilities</t>
  </si>
  <si>
    <t>Equity to assets</t>
  </si>
  <si>
    <t>Share of assets funded by equity</t>
  </si>
  <si>
    <t>Total assets growth</t>
  </si>
  <si>
    <t>Growth in total assets</t>
  </si>
  <si>
    <t>Total liabilities growth</t>
  </si>
  <si>
    <t>Growth in total liabilities</t>
  </si>
  <si>
    <t>Area to Review</t>
  </si>
  <si>
    <t>Evidence / Metric</t>
  </si>
  <si>
    <t>Initial Observation</t>
  </si>
  <si>
    <t>Next Check</t>
  </si>
  <si>
    <t>Liabilities growth</t>
  </si>
  <si>
    <t>Total liabilities: ₹4,066 cr (FY25) to ₹5,581 cr (FY26)</t>
  </si>
  <si>
    <t>Investigate</t>
  </si>
  <si>
    <t>Compare borrowings, trade payables, provisions and other liabilities in notes.</t>
  </si>
  <si>
    <t>Profitability</t>
  </si>
  <si>
    <t>PBT: ₹2,116 cr to ₹2,277 cr; profit for year: ₹1,658 cr to ₹1,813 cr</t>
  </si>
  <si>
    <t>Both reported profit measures increased year over year.</t>
  </si>
  <si>
    <t>No immediate issue from these figures</t>
  </si>
  <si>
    <t>Review margins and cash flow before concluding.</t>
  </si>
  <si>
    <t>Data verification</t>
  </si>
  <si>
    <t>Figures currently transcribed from user-provided screenshot</t>
  </si>
  <si>
    <t>Use consolidated statements, not subsidiary-only statements.</t>
  </si>
  <si>
    <t>Marico Limited — Financial Due Diligence Dashboard</t>
  </si>
  <si>
    <t>Metric</t>
  </si>
  <si>
    <t>Change</t>
  </si>
  <si>
    <t>Total liabilities increased 37.3%; current liabilities rose from ₹2,455 cr to ₹4,101 cr. Investigate the categories driving this increase.</t>
  </si>
  <si>
    <t>Key figures cross-checked against Marico's official FY26 consolidated balance sheet and financial results.</t>
  </si>
  <si>
    <t>Verified — for figures checked</t>
  </si>
  <si>
    <t>Current liabilities breakdown</t>
  </si>
  <si>
    <t>Current liabilities increased from ₹2,455 crore to ₹4,101 crore, with a notable increase in other current liabilities.</t>
  </si>
  <si>
    <t>What explains the increase in other current liabilities, and is it recurring or one-off?</t>
  </si>
  <si>
    <t>FY25 to FY26: Total current liabilities increased from ₹2,455 cr to ₹4,101 cr. Other current liabilities increased from ₹232 cr to ₹1,585 cr, while trade payables to other creditors increased from ₹1,217 cr to ₹1,488 cr. Figures require verification against the relevant consolidated financial statement notes.</t>
  </si>
  <si>
    <t>Other Current Liabilities</t>
  </si>
  <si>
    <t>Other current liabilities increased from ₹232 crore in FY2024–25 to ₹1,585 crore in FY2025–26.</t>
  </si>
  <si>
    <t>The substantial increase requires investigation. The exact components and business reasons for the increase have not yet been verified from the FY2025–26 consolidated financial-statement notes.</t>
  </si>
  <si>
    <t>Review the FY2025–26 consolidated note for other current liabilities, compare each component with FY2024–25, and determine whether the increase relates to normal business operations, timing differences, one-off items, or another cause.</t>
  </si>
  <si>
    <t>Operating Cash Flow</t>
  </si>
  <si>
    <t>Net cash from operating activities</t>
  </si>
  <si>
    <t xml:space="preserve">                                                                                                                                                                                                                                  </t>
  </si>
  <si>
    <t>Net Profit Margin</t>
  </si>
  <si>
    <t>Current Ratio</t>
  </si>
  <si>
    <t>Current Assets</t>
  </si>
  <si>
    <t>Current Liabilities</t>
  </si>
  <si>
    <t>Marico Integrated Annual Report FY2025–26, p. 376 — Consolidated Balance Sheet</t>
  </si>
  <si>
    <t>Debt-to-Equity Ratio</t>
  </si>
  <si>
    <t>Return on Equity (ROE)</t>
  </si>
  <si>
    <t>Operating Cash Flow to Net Profit</t>
  </si>
  <si>
    <t>Total Liabilities Growth</t>
  </si>
  <si>
    <t>Total Assets Growth</t>
  </si>
  <si>
    <t>Positive Observation</t>
  </si>
  <si>
    <t>Marico’s total assets increased by approximately 20.9% from FY2024–25 to FY2025–26, while total liabilities increased by approximately 37.3%. Liabilities grew faster than assets, so the increase warrants further investigation into the sources of funding and changes in the balance sheet.</t>
  </si>
  <si>
    <t>Operating Cash Flow / Net Profit</t>
  </si>
  <si>
    <t>Decreased</t>
  </si>
  <si>
    <t>Improved</t>
  </si>
  <si>
    <t>Financial Due Diligence Conclusion — Marico Limited</t>
  </si>
  <si>
    <t>Marico Limited demonstrated strong revenue growth and improved operating cash generation in FY2025–26. However, profitability grew more slowly than revenue, resulting in a decline in net profit margin. Total liabilities increased faster than total assets, and the current ratio declined from 2.07x to 1.43x, highlighting areas that require further investigation.</t>
  </si>
  <si>
    <t>Overall, the available financial indicators show business growth alongside emerging liquidity and margin considerations. Before reaching a final due diligence decision, further review of working-capital movements, liability composition, expense drivers, and supporting financial statement notes is recommended.</t>
  </si>
  <si>
    <r>
      <t>Scope limitation:</t>
    </r>
    <r>
      <rPr>
        <sz val="11"/>
        <color theme="1"/>
        <rFont val="Calibri"/>
        <family val="2"/>
        <scheme val="minor"/>
      </rPr>
      <t xml:space="preserve"> This preliminary assessment is based on selected consolidated financial statement figures for FY2024–25 and FY2025–26. It is not a complete investment recommendation or audit.</t>
    </r>
  </si>
  <si>
    <t>Revenue and Profitability</t>
  </si>
  <si>
    <t>Revenue +25.7%; PBT +7.6%; Profit +9.3%</t>
  </si>
  <si>
    <t>Revenue grew faster than profits. Net profit margin declined from 15.3% to 13.3%.</t>
  </si>
  <si>
    <t>Review expense increases and reasons for margin decline</t>
  </si>
  <si>
    <t>Short-term Liquidity</t>
  </si>
  <si>
    <t>Current ratio declined from 2.07x to 1.43x; current liabilities increased 67.1%.</t>
  </si>
  <si>
    <t>The short-term liquidity cushion has decreased.</t>
  </si>
  <si>
    <t>Review the increase in current liabilities and working-capital movements.</t>
  </si>
  <si>
    <t>Cash Flow Quality</t>
  </si>
  <si>
    <t>Operating cash flow increased from ₹1,363 cr to ₹2,084 cr; cash flow/net profit improved from 82.2% to 115.0%.</t>
  </si>
  <si>
    <t>Cash generation improved and exceeded reported profit in FY2025–26.</t>
  </si>
  <si>
    <t>Positive</t>
  </si>
  <si>
    <t>Review working-capital movements and confirm the cash flow trend is sustainable.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</si>
</sst>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"/>
    <numFmt numFmtId="165" formatCode="0.0%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2D7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center" wrapText="1"/>
    </xf>
    <xf numFmtId="3" fontId="0" fillId="0" borderId="0" xfId="0" applyNumberFormat="1" applyAlignment="1">
      <alignment vertical="top" wrapText="1"/>
    </xf>
    <xf numFmtId="9" fontId="0" fillId="0" borderId="0" xfId="2" applyFont="1"/>
    <xf numFmtId="43" fontId="0" fillId="0" borderId="0" xfId="1" applyFont="1"/>
    <xf numFmtId="3" fontId="0" fillId="0" borderId="0" xfId="0" applyNumberFormat="1"/>
    <xf numFmtId="3" fontId="0" fillId="0" borderId="0" xfId="0" applyNumberFormat="1" applyAlignment="1">
      <alignment vertical="center" wrapText="1"/>
    </xf>
    <xf numFmtId="43" fontId="5" fillId="0" borderId="0" xfId="1" applyFont="1"/>
    <xf numFmtId="9" fontId="5" fillId="0" borderId="0" xfId="2" applyFont="1"/>
    <xf numFmtId="0" fontId="4" fillId="0" borderId="0" xfId="0" applyFont="1"/>
    <xf numFmtId="0" fontId="0" fillId="0" borderId="0" xfId="0" applyFont="1"/>
    <xf numFmtId="10" fontId="0" fillId="0" borderId="0" xfId="0" applyNumberForma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Marico Limited — Revenue and Profit Comparison (₹ Crore)</a:t>
            </a:r>
            <a:endParaRPr lang="en-IN"/>
          </a:p>
        </c:rich>
      </c:tx>
      <c:layout>
        <c:manualLayout>
          <c:xMode val="edge"/>
          <c:yMode val="edge"/>
          <c:x val="0.2043193350831145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2825896762905E-2"/>
          <c:y val="2.5428331875182269E-2"/>
          <c:w val="0.8586272965879264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FY2024-25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Dashboard!$A$4:$A$6</c:f>
              <c:strCache>
                <c:ptCount val="3"/>
                <c:pt idx="0">
                  <c:v>Revenue from Operations</c:v>
                </c:pt>
                <c:pt idx="1">
                  <c:v>Profit Before Tax</c:v>
                </c:pt>
                <c:pt idx="2">
                  <c:v>Profit for the Year</c:v>
                </c:pt>
              </c:strCache>
            </c:strRef>
          </c:cat>
          <c:val>
            <c:numRef>
              <c:f>Dashboard!$B$4:$B$6</c:f>
              <c:numCache>
                <c:formatCode>#,##0</c:formatCode>
                <c:ptCount val="3"/>
                <c:pt idx="0">
                  <c:v>10831</c:v>
                </c:pt>
                <c:pt idx="1">
                  <c:v>2116</c:v>
                </c:pt>
                <c:pt idx="2">
                  <c:v>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4-45ED-B042-5BE4BE417063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FY2025-26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Dashboard!$A$4:$A$6</c:f>
              <c:strCache>
                <c:ptCount val="3"/>
                <c:pt idx="0">
                  <c:v>Revenue from Operations</c:v>
                </c:pt>
                <c:pt idx="1">
                  <c:v>Profit Before Tax</c:v>
                </c:pt>
                <c:pt idx="2">
                  <c:v>Profit for the Year</c:v>
                </c:pt>
              </c:strCache>
            </c:strRef>
          </c:cat>
          <c:val>
            <c:numRef>
              <c:f>Dashboard!$C$4:$C$6</c:f>
              <c:numCache>
                <c:formatCode>#,##0</c:formatCode>
                <c:ptCount val="3"/>
                <c:pt idx="0">
                  <c:v>13611</c:v>
                </c:pt>
                <c:pt idx="1">
                  <c:v>2277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B4-45ED-B042-5BE4BE41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921968"/>
        <c:axId val="872215152"/>
      </c:barChart>
      <c:catAx>
        <c:axId val="57592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15152"/>
        <c:crosses val="autoZero"/>
        <c:auto val="1"/>
        <c:lblAlgn val="ctr"/>
        <c:lblOffset val="100"/>
        <c:noMultiLvlLbl val="0"/>
      </c:catAx>
      <c:valAx>
        <c:axId val="8722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92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126205</xdr:colOff>
      <xdr:row>16</xdr:row>
      <xdr:rowOff>19049</xdr:rowOff>
    </xdr:from>
    <xdr:to>
      <xdr:col>1</xdr:col>
      <xdr:colOff>983455</xdr:colOff>
      <xdr:row>31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29AA9-8704-9E7E-714A-E31B6E160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0"/>
  <sheetViews>
    <sheetView topLeftCell="A3" workbookViewId="0">
      <selection activeCell="B23" sqref="B23"/>
    </sheetView>
  </sheetViews>
  <sheetFormatPr defaultRowHeight="14.25"/>
  <cols>
    <col min="1" max="1" width="36" customWidth="1"/>
    <col min="2" max="2" width="55" customWidth="1"/>
  </cols>
  <sheetData>
    <row r="3" spans="1:2">
      <c r="A3" s="1" t="s">
        <v>12</v>
      </c>
    </row>
    <row r="5" spans="1:2">
      <c r="A5" s="1" t="s">
        <v>13</v>
      </c>
      <c r="B5" s="1" t="s">
        <v>14</v>
      </c>
    </row>
    <row r="6" spans="1:2">
      <c r="A6" s="1" t="s">
        <v>15</v>
      </c>
      <c r="B6" s="1" t="s">
        <v>16</v>
      </c>
    </row>
    <row r="7" spans="1:2">
      <c r="A7" s="1" t="s">
        <v>17</v>
      </c>
      <c r="B7" s="1" t="s">
        <v>18</v>
      </c>
    </row>
    <row r="8" spans="1:2">
      <c r="A8" s="1" t="s">
        <v>19</v>
      </c>
      <c r="B8" s="1" t="s">
        <v>20</v>
      </c>
    </row>
    <row r="9" spans="1:2">
      <c r="A9" s="1" t="s">
        <v>21</v>
      </c>
      <c r="B9" s="1" t="s">
        <v>22</v>
      </c>
    </row>
    <row r="10" spans="1:2" ht="28.5">
      <c r="A10" s="1" t="s">
        <v>23</v>
      </c>
      <c r="B10" s="1" t="s">
        <v>24</v>
      </c>
    </row>
    <row r="14" spans="1:2" ht="17.649999999999999">
      <c r="A14" s="17" t="s">
        <v>89</v>
      </c>
    </row>
    <row r="16" spans="1:2">
      <c r="A16" t="s">
        <v>90</v>
      </c>
    </row>
    <row r="18" spans="1:1">
      <c r="A18" t="s">
        <v>91</v>
      </c>
    </row>
    <row r="20" spans="1:1">
      <c r="A20" s="13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opLeftCell="B1" workbookViewId="0">
      <pane ySplit="1" topLeftCell="A2" activePane="bottomLeft" state="frozen"/>
      <selection pane="bottomLeft" activeCell="D18" sqref="D18"/>
    </sheetView>
  </sheetViews>
  <sheetFormatPr defaultRowHeight="14.25"/>
  <cols>
    <col min="1" max="1" width="25" bestFit="1" customWidth="1"/>
    <col min="2" max="2" width="14" bestFit="1" customWidth="1"/>
    <col min="3" max="3" width="14" customWidth="1"/>
    <col min="4" max="4" width="33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10831</v>
      </c>
      <c r="C2" s="2">
        <v>13611</v>
      </c>
      <c r="D2" s="1" t="s">
        <v>5</v>
      </c>
    </row>
    <row r="3" spans="1:4">
      <c r="A3" s="1" t="s">
        <v>6</v>
      </c>
      <c r="B3" s="2">
        <v>11039</v>
      </c>
      <c r="C3" s="2">
        <v>13815</v>
      </c>
      <c r="D3" s="1" t="s">
        <v>5</v>
      </c>
    </row>
    <row r="4" spans="1:4">
      <c r="A4" s="1" t="s">
        <v>7</v>
      </c>
      <c r="B4" s="2">
        <v>2116</v>
      </c>
      <c r="C4" s="2">
        <v>2277</v>
      </c>
      <c r="D4" s="1" t="s">
        <v>5</v>
      </c>
    </row>
    <row r="5" spans="1:4">
      <c r="A5" s="1" t="s">
        <v>8</v>
      </c>
      <c r="B5" s="2">
        <v>1658</v>
      </c>
      <c r="C5" s="2">
        <v>1813</v>
      </c>
      <c r="D5" s="1" t="s">
        <v>5</v>
      </c>
    </row>
    <row r="6" spans="1:4">
      <c r="A6" s="1" t="s">
        <v>9</v>
      </c>
      <c r="B6" s="2">
        <v>8332</v>
      </c>
      <c r="C6" s="2">
        <v>10075</v>
      </c>
      <c r="D6" s="1" t="s">
        <v>5</v>
      </c>
    </row>
    <row r="7" spans="1:4">
      <c r="A7" s="1" t="s">
        <v>10</v>
      </c>
      <c r="B7" s="2">
        <v>4066</v>
      </c>
      <c r="C7" s="2">
        <v>5581</v>
      </c>
      <c r="D7" s="1" t="s">
        <v>5</v>
      </c>
    </row>
    <row r="8" spans="1:4">
      <c r="A8" s="1" t="s">
        <v>11</v>
      </c>
      <c r="B8" s="2">
        <v>4266</v>
      </c>
      <c r="C8" s="2">
        <v>4494</v>
      </c>
      <c r="D8" s="1" t="s">
        <v>5</v>
      </c>
    </row>
    <row r="9" spans="1:4">
      <c r="A9" t="s">
        <v>72</v>
      </c>
      <c r="B9" s="2">
        <v>1363</v>
      </c>
      <c r="C9" s="2">
        <v>2084</v>
      </c>
      <c r="D9" s="1" t="s">
        <v>5</v>
      </c>
    </row>
    <row r="10" spans="1:4">
      <c r="A10" t="s">
        <v>76</v>
      </c>
      <c r="B10" s="9">
        <v>5077</v>
      </c>
      <c r="C10" s="9">
        <v>5860</v>
      </c>
      <c r="D10" t="s">
        <v>78</v>
      </c>
    </row>
    <row r="11" spans="1:4">
      <c r="A11" t="s">
        <v>77</v>
      </c>
      <c r="B11" s="9">
        <v>2455</v>
      </c>
      <c r="C11" s="10">
        <v>4101</v>
      </c>
      <c r="D11" t="s">
        <v>78</v>
      </c>
    </row>
    <row r="22" spans="2:2">
      <c r="B22" t="s">
        <v>73</v>
      </c>
    </row>
  </sheetData>
  <autoFilter ref="A1:D8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 activeCell="A11" sqref="A11"/>
    </sheetView>
  </sheetViews>
  <sheetFormatPr defaultRowHeight="14.25"/>
  <cols>
    <col min="1" max="1" width="26" customWidth="1"/>
    <col min="2" max="3" width="55" customWidth="1"/>
    <col min="4" max="4" width="39" customWidth="1"/>
  </cols>
  <sheetData>
    <row r="1" spans="1:4">
      <c r="A1" s="3" t="s">
        <v>25</v>
      </c>
      <c r="B1" s="3" t="s">
        <v>1</v>
      </c>
      <c r="C1" s="3" t="s">
        <v>2</v>
      </c>
      <c r="D1" s="3" t="s">
        <v>26</v>
      </c>
    </row>
    <row r="2" spans="1:4">
      <c r="A2" s="1" t="s">
        <v>27</v>
      </c>
      <c r="B2" s="4">
        <f>('Historical Financials'!C2-'Historical Financials'!B2)/'Historical Financials'!B2</f>
        <v>0.25667066752839074</v>
      </c>
      <c r="C2" s="4">
        <f>'Historical Financials'!C2/'Historical Financials'!B2-1</f>
        <v>0.25667066752839074</v>
      </c>
      <c r="D2" s="1" t="s">
        <v>28</v>
      </c>
    </row>
    <row r="3" spans="1:4">
      <c r="A3" s="1" t="s">
        <v>29</v>
      </c>
      <c r="B3" s="4">
        <f>'Historical Financials'!B4/'Historical Financials'!B2</f>
        <v>0.19536515557196935</v>
      </c>
      <c r="C3" s="4">
        <f>'Historical Financials'!C4/'Historical Financials'!C2</f>
        <v>0.16729116156050253</v>
      </c>
      <c r="D3" s="1" t="s">
        <v>30</v>
      </c>
    </row>
    <row r="4" spans="1:4">
      <c r="A4" s="1" t="s">
        <v>31</v>
      </c>
      <c r="B4" s="4">
        <f>'Historical Financials'!B5/'Historical Financials'!B2</f>
        <v>0.1530791247345582</v>
      </c>
      <c r="C4" s="4">
        <f>'Historical Financials'!C5/'Historical Financials'!C2</f>
        <v>0.13320108735581515</v>
      </c>
      <c r="D4" s="1" t="s">
        <v>32</v>
      </c>
    </row>
    <row r="5" spans="1:4">
      <c r="A5" s="1" t="s">
        <v>33</v>
      </c>
      <c r="B5" s="4">
        <f>'Historical Financials'!B7/'Historical Financials'!B6</f>
        <v>0.48799807969275083</v>
      </c>
      <c r="C5" s="4">
        <f>'Historical Financials'!C7/'Historical Financials'!C6</f>
        <v>0.55394540942928039</v>
      </c>
      <c r="D5" s="1" t="s">
        <v>34</v>
      </c>
    </row>
    <row r="6" spans="1:4">
      <c r="A6" s="1" t="s">
        <v>35</v>
      </c>
      <c r="B6" s="4">
        <f>'Historical Financials'!B8/'Historical Financials'!B6</f>
        <v>0.51200192030724911</v>
      </c>
      <c r="C6" s="4">
        <f>'Historical Financials'!C8/'Historical Financials'!C6</f>
        <v>0.44605459057071961</v>
      </c>
      <c r="D6" s="1" t="s">
        <v>36</v>
      </c>
    </row>
    <row r="7" spans="1:4">
      <c r="A7" s="1" t="s">
        <v>37</v>
      </c>
      <c r="B7" s="4">
        <f>('Historical Financials'!C6-'Historical Financials'!B6)/'Historical Financials'!B6</f>
        <v>0.20919347095535284</v>
      </c>
      <c r="C7" s="4">
        <f>'Historical Financials'!C6/'Historical Financials'!B6-1</f>
        <v>0.2091934709553529</v>
      </c>
      <c r="D7" s="1" t="s">
        <v>38</v>
      </c>
    </row>
    <row r="8" spans="1:4">
      <c r="A8" s="1" t="s">
        <v>39</v>
      </c>
      <c r="B8" s="4">
        <f>('Historical Financials'!C7-'Historical Financials'!B7)/'Historical Financials'!B7</f>
        <v>0.37260206591244466</v>
      </c>
      <c r="C8" s="4">
        <f>'Historical Financials'!C7/'Historical Financials'!B7-1</f>
        <v>0.37260206591244471</v>
      </c>
      <c r="D8" s="1" t="s">
        <v>40</v>
      </c>
    </row>
    <row r="9" spans="1:4">
      <c r="A9" s="1" t="s">
        <v>71</v>
      </c>
      <c r="B9" s="7">
        <f>'Historical Financials'!B9/'Historical Financials'!B5</f>
        <v>0.82207478890229191</v>
      </c>
      <c r="C9" s="7">
        <f>'Historical Financials'!C9/'Historical Financials'!C5</f>
        <v>1.1494760066188638</v>
      </c>
    </row>
    <row r="10" spans="1:4">
      <c r="A10" t="s">
        <v>74</v>
      </c>
      <c r="B10" s="7">
        <f>'Historical Financials'!B5/'Historical Financials'!B2</f>
        <v>0.1530791247345582</v>
      </c>
      <c r="C10" s="7">
        <f>'Historical Financials'!C5/'Historical Financials'!C2</f>
        <v>0.13320108735581515</v>
      </c>
    </row>
    <row r="11" spans="1:4">
      <c r="A11" t="s">
        <v>75</v>
      </c>
      <c r="B11" s="8">
        <f>'Historical Financials'!B10/'Historical Financials'!B11</f>
        <v>2.0680244399185335</v>
      </c>
      <c r="C11" s="8">
        <f>'Historical Financials'!C10/'Historical Financials'!C11</f>
        <v>1.428919775664472</v>
      </c>
    </row>
    <row r="12" spans="1:4">
      <c r="A12" t="s">
        <v>79</v>
      </c>
      <c r="B12" s="11">
        <f>'Historical Financials'!B7/'Historical Financials'!B8</f>
        <v>0.95311767463666197</v>
      </c>
      <c r="C12" s="8">
        <f>'Historical Financials'!C7/'Historical Financials'!C8</f>
        <v>1.2418780596350689</v>
      </c>
    </row>
    <row r="13" spans="1:4">
      <c r="A13" t="s">
        <v>80</v>
      </c>
      <c r="B13" s="8">
        <f>'Historical Financials'!B5/'Historical Financials'!B8</f>
        <v>0.3886544772620722</v>
      </c>
      <c r="C13" s="8">
        <f>'Historical Financials'!C5/'Historical Financials'!C8</f>
        <v>0.40342679127725856</v>
      </c>
    </row>
    <row r="14" spans="1:4">
      <c r="A14" t="s">
        <v>81</v>
      </c>
      <c r="B14" s="7">
        <f>'Historical Financials'!B9/'Historical Financials'!B5</f>
        <v>0.82207478890229191</v>
      </c>
      <c r="C14" s="12">
        <f>'Historical Financials'!C9/'Historical Financials'!C5</f>
        <v>1.1494760066188638</v>
      </c>
    </row>
    <row r="15" spans="1:4">
      <c r="A15" t="s">
        <v>82</v>
      </c>
      <c r="C15" s="12">
        <f>('Historical Financials'!C7-'Historical Financials'!B7)/'Historical Financials'!B7</f>
        <v>0.37260206591244466</v>
      </c>
    </row>
    <row r="16" spans="1:4">
      <c r="A16" t="s">
        <v>83</v>
      </c>
      <c r="C16" s="7">
        <f>('Historical Financials'!C6-'Historical Financials'!B6)/'Historical Financials'!B6</f>
        <v>0.20919347095535284</v>
      </c>
    </row>
  </sheetData>
  <autoFilter ref="A1:D8" xr:uid="{00000000-0009-0000-0000-000002000000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25"/>
  <cols>
    <col min="1" max="1" width="27.6640625" customWidth="1"/>
    <col min="2" max="2" width="55" customWidth="1"/>
    <col min="3" max="3" width="90.9296875" bestFit="1" customWidth="1"/>
    <col min="4" max="4" width="39" customWidth="1"/>
    <col min="5" max="5" width="55" customWidth="1"/>
  </cols>
  <sheetData>
    <row r="1" spans="1:5">
      <c r="A1" s="3" t="s">
        <v>41</v>
      </c>
      <c r="B1" s="3" t="s">
        <v>42</v>
      </c>
      <c r="C1" s="3" t="s">
        <v>43</v>
      </c>
      <c r="D1" s="3" t="s">
        <v>21</v>
      </c>
      <c r="E1" s="3" t="s">
        <v>44</v>
      </c>
    </row>
    <row r="2" spans="1:5" ht="28.5">
      <c r="A2" s="1" t="s">
        <v>45</v>
      </c>
      <c r="B2" s="1" t="s">
        <v>46</v>
      </c>
      <c r="C2" s="1" t="s">
        <v>60</v>
      </c>
      <c r="D2" s="1" t="s">
        <v>47</v>
      </c>
      <c r="E2" s="1" t="s">
        <v>48</v>
      </c>
    </row>
    <row r="3" spans="1:5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</row>
    <row r="4" spans="1:5">
      <c r="A4" s="1" t="s">
        <v>54</v>
      </c>
      <c r="B4" s="1" t="s">
        <v>55</v>
      </c>
      <c r="C4" s="1" t="s">
        <v>61</v>
      </c>
      <c r="D4" s="1" t="s">
        <v>62</v>
      </c>
      <c r="E4" s="1" t="s">
        <v>56</v>
      </c>
    </row>
    <row r="5" spans="1:5">
      <c r="A5" s="1" t="s">
        <v>63</v>
      </c>
      <c r="B5" t="s">
        <v>66</v>
      </c>
      <c r="C5" t="s">
        <v>64</v>
      </c>
      <c r="D5" t="s">
        <v>47</v>
      </c>
      <c r="E5" t="s">
        <v>65</v>
      </c>
    </row>
    <row r="6" spans="1:5">
      <c r="A6" t="s">
        <v>67</v>
      </c>
      <c r="B6" t="s">
        <v>68</v>
      </c>
      <c r="C6" t="s">
        <v>69</v>
      </c>
      <c r="D6" t="s">
        <v>47</v>
      </c>
      <c r="E6" t="s">
        <v>70</v>
      </c>
    </row>
    <row r="7" spans="1:5">
      <c r="A7" s="14" t="s">
        <v>83</v>
      </c>
      <c r="B7" t="s">
        <v>85</v>
      </c>
      <c r="C7" s="14" t="s">
        <v>84</v>
      </c>
      <c r="D7" t="s">
        <v>47</v>
      </c>
      <c r="E7" t="s">
        <v>96</v>
      </c>
    </row>
    <row r="8" spans="1:5">
      <c r="A8" t="s">
        <v>93</v>
      </c>
      <c r="B8" t="s">
        <v>94</v>
      </c>
      <c r="C8" t="s">
        <v>95</v>
      </c>
      <c r="D8" t="s">
        <v>47</v>
      </c>
      <c r="E8" t="s">
        <v>100</v>
      </c>
    </row>
    <row r="9" spans="1:5">
      <c r="A9" t="s">
        <v>97</v>
      </c>
      <c r="B9" t="s">
        <v>98</v>
      </c>
      <c r="C9" t="s">
        <v>99</v>
      </c>
      <c r="D9" t="s">
        <v>104</v>
      </c>
      <c r="E9" t="s">
        <v>105</v>
      </c>
    </row>
    <row r="10" spans="1:5">
      <c r="A10" t="s">
        <v>101</v>
      </c>
      <c r="B10" t="s">
        <v>102</v>
      </c>
      <c r="C10" t="s">
        <v>103</v>
      </c>
    </row>
  </sheetData>
  <autoFilter ref="A1:E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 activeCell="B20" sqref="B20"/>
    </sheetView>
  </sheetViews>
  <sheetFormatPr defaultRowHeight="14.25"/>
  <cols>
    <col min="1" max="1" width="52" customWidth="1"/>
    <col min="2" max="2" width="29" bestFit="1" customWidth="1"/>
    <col min="3" max="3" width="29" customWidth="1"/>
    <col min="4" max="4" width="14" customWidth="1"/>
  </cols>
  <sheetData>
    <row r="1" spans="1:4">
      <c r="A1" s="3" t="s">
        <v>57</v>
      </c>
      <c r="B1" s="5"/>
      <c r="C1" s="5"/>
      <c r="D1" s="5"/>
    </row>
    <row r="3" spans="1:4">
      <c r="A3" s="3" t="s">
        <v>58</v>
      </c>
      <c r="B3" s="3" t="s">
        <v>1</v>
      </c>
      <c r="C3" s="3" t="s">
        <v>2</v>
      </c>
      <c r="D3" s="3" t="s">
        <v>59</v>
      </c>
    </row>
    <row r="4" spans="1:4">
      <c r="A4" s="1" t="s">
        <v>4</v>
      </c>
      <c r="B4" s="6">
        <f>'Historical Financials'!B2</f>
        <v>10831</v>
      </c>
      <c r="C4" s="6">
        <f>'Historical Financials'!C2</f>
        <v>13611</v>
      </c>
      <c r="D4" s="4">
        <f t="shared" ref="D4:D9" si="0">C4/B4-1</f>
        <v>0.25667066752839074</v>
      </c>
    </row>
    <row r="5" spans="1:4">
      <c r="A5" s="1" t="s">
        <v>7</v>
      </c>
      <c r="B5" s="6">
        <f>'Historical Financials'!B4</f>
        <v>2116</v>
      </c>
      <c r="C5" s="6">
        <f>'Historical Financials'!C4</f>
        <v>2277</v>
      </c>
      <c r="D5" s="4">
        <f t="shared" si="0"/>
        <v>7.6086956521739024E-2</v>
      </c>
    </row>
    <row r="6" spans="1:4">
      <c r="A6" s="1" t="s">
        <v>8</v>
      </c>
      <c r="B6" s="6">
        <f>'Historical Financials'!B5</f>
        <v>1658</v>
      </c>
      <c r="C6" s="6">
        <f>'Historical Financials'!C5</f>
        <v>1813</v>
      </c>
      <c r="D6" s="4">
        <f t="shared" si="0"/>
        <v>9.3486127864897517E-2</v>
      </c>
    </row>
    <row r="7" spans="1:4">
      <c r="A7" s="1" t="s">
        <v>9</v>
      </c>
      <c r="B7" s="6">
        <f>'Historical Financials'!B6</f>
        <v>8332</v>
      </c>
      <c r="C7" s="6">
        <f>'Historical Financials'!C6</f>
        <v>10075</v>
      </c>
      <c r="D7" s="4">
        <f t="shared" si="0"/>
        <v>0.2091934709553529</v>
      </c>
    </row>
    <row r="8" spans="1:4">
      <c r="A8" s="1" t="s">
        <v>10</v>
      </c>
      <c r="B8" s="6">
        <f>'Historical Financials'!B7</f>
        <v>4066</v>
      </c>
      <c r="C8" s="6">
        <f>'Historical Financials'!C7</f>
        <v>5581</v>
      </c>
      <c r="D8" s="4">
        <f t="shared" si="0"/>
        <v>0.37260206591244471</v>
      </c>
    </row>
    <row r="9" spans="1:4">
      <c r="A9" s="1" t="s">
        <v>11</v>
      </c>
      <c r="B9" s="6">
        <f>'Historical Financials'!B8</f>
        <v>4266</v>
      </c>
      <c r="C9" s="6">
        <f>'Historical Financials'!C8</f>
        <v>4494</v>
      </c>
      <c r="D9" s="4">
        <f t="shared" si="0"/>
        <v>5.3445850914205284E-2</v>
      </c>
    </row>
    <row r="10" spans="1:4">
      <c r="A10" t="s">
        <v>76</v>
      </c>
      <c r="B10" s="9">
        <v>5077</v>
      </c>
      <c r="C10" s="9">
        <v>5860</v>
      </c>
      <c r="D10" s="15">
        <v>0.154</v>
      </c>
    </row>
    <row r="11" spans="1:4">
      <c r="A11" t="s">
        <v>77</v>
      </c>
      <c r="B11" s="9">
        <v>2455</v>
      </c>
      <c r="C11" s="9">
        <v>4101</v>
      </c>
      <c r="D11" s="15">
        <v>0.67100000000000004</v>
      </c>
    </row>
    <row r="12" spans="1:4">
      <c r="A12" t="s">
        <v>75</v>
      </c>
      <c r="B12">
        <v>2.0699999999999998</v>
      </c>
      <c r="C12">
        <v>1.43</v>
      </c>
      <c r="D12" t="s">
        <v>87</v>
      </c>
    </row>
    <row r="13" spans="1:4">
      <c r="A13" t="s">
        <v>74</v>
      </c>
      <c r="B13" s="15">
        <v>0.153</v>
      </c>
      <c r="C13" s="15">
        <v>0.13300000000000001</v>
      </c>
      <c r="D13" t="s">
        <v>87</v>
      </c>
    </row>
    <row r="14" spans="1:4">
      <c r="A14" t="s">
        <v>86</v>
      </c>
      <c r="B14" s="15">
        <v>0.82199999999999995</v>
      </c>
      <c r="C14" s="15">
        <v>1.1499999999999999</v>
      </c>
      <c r="D14" s="16" t="s">
        <v>88</v>
      </c>
    </row>
  </sheetData>
  <autoFilter ref="A1:D9" xr:uid="{00000000-0009-0000-0000-000004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Historical Financials</vt:lpstr>
      <vt:lpstr>Ratio Analysis</vt:lpstr>
      <vt:lpstr>Red Flags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 Sharon</dc:creator>
  <cp:lastModifiedBy>Rupa Sharon</cp:lastModifiedBy>
  <dcterms:created xsi:type="dcterms:W3CDTF">2026-10-16T13:16:03Z</dcterms:created>
  <dcterms:modified xsi:type="dcterms:W3CDTF">2026-10-16T16:25:26Z</dcterms:modified>
</cp:coreProperties>
</file>